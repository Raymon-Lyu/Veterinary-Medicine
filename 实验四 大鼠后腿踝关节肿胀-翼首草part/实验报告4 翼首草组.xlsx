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43495\Documents\2Study Materials\大三下\中兽医学\实验报告\"/>
    </mc:Choice>
  </mc:AlternateContent>
  <xr:revisionPtr revIDLastSave="0" documentId="13_ncr:1_{72E5785E-02F2-4D08-8106-DEC620E689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" i="1" l="1"/>
  <c r="K8" i="1"/>
  <c r="K7" i="1"/>
  <c r="Q9" i="1"/>
  <c r="Q8" i="1"/>
  <c r="Q7" i="1"/>
  <c r="N9" i="1"/>
  <c r="N7" i="1"/>
  <c r="K9" i="1"/>
  <c r="H9" i="1"/>
  <c r="H8" i="1"/>
  <c r="H7" i="1"/>
  <c r="Q5" i="1"/>
  <c r="Q4" i="1"/>
  <c r="Q3" i="1"/>
  <c r="N5" i="1"/>
  <c r="N4" i="1"/>
  <c r="N3" i="1"/>
  <c r="K5" i="1"/>
  <c r="K4" i="1"/>
  <c r="K3" i="1"/>
  <c r="H5" i="1"/>
  <c r="H4" i="1"/>
  <c r="H3" i="1"/>
  <c r="E4" i="1"/>
  <c r="E5" i="1"/>
  <c r="E3" i="1"/>
</calcChain>
</file>

<file path=xl/sharedStrings.xml><?xml version="1.0" encoding="utf-8"?>
<sst xmlns="http://schemas.openxmlformats.org/spreadsheetml/2006/main" count="16" uniqueCount="15">
  <si>
    <t>致炎前周长</t>
    <phoneticPr fontId="1" type="noConversion"/>
  </si>
  <si>
    <t>/cm</t>
    <phoneticPr fontId="1" type="noConversion"/>
  </si>
  <si>
    <t>0.5h</t>
    <phoneticPr fontId="1" type="noConversion"/>
  </si>
  <si>
    <t>1h</t>
    <phoneticPr fontId="1" type="noConversion"/>
  </si>
  <si>
    <t>1.5h</t>
    <phoneticPr fontId="1" type="noConversion"/>
  </si>
  <si>
    <t>2h</t>
    <phoneticPr fontId="1" type="noConversion"/>
  </si>
  <si>
    <r>
      <rPr>
        <sz val="11"/>
        <color theme="1"/>
        <rFont val="仿宋"/>
        <family val="3"/>
        <charset val="134"/>
      </rPr>
      <t>翼首草</t>
    </r>
    <phoneticPr fontId="1" type="noConversion"/>
  </si>
  <si>
    <r>
      <rPr>
        <sz val="11"/>
        <color theme="1"/>
        <rFont val="仿宋"/>
        <family val="3"/>
        <charset val="134"/>
      </rPr>
      <t>小鼠编号</t>
    </r>
    <phoneticPr fontId="1" type="noConversion"/>
  </si>
  <si>
    <r>
      <rPr>
        <sz val="11"/>
        <color theme="1"/>
        <rFont val="仿宋"/>
        <family val="3"/>
        <charset val="134"/>
      </rPr>
      <t>体重</t>
    </r>
    <r>
      <rPr>
        <sz val="11"/>
        <color theme="1"/>
        <rFont val="Times New Roman"/>
        <family val="1"/>
      </rPr>
      <t>/g</t>
    </r>
    <phoneticPr fontId="1" type="noConversion"/>
  </si>
  <si>
    <r>
      <rPr>
        <sz val="11"/>
        <color theme="1"/>
        <rFont val="仿宋"/>
        <family val="3"/>
        <charset val="134"/>
      </rPr>
      <t>足肿胀度计算</t>
    </r>
    <r>
      <rPr>
        <sz val="11"/>
        <color theme="1"/>
        <rFont val="Times New Roman"/>
        <family val="1"/>
      </rPr>
      <t>=</t>
    </r>
    <r>
      <rPr>
        <sz val="11"/>
        <color theme="1"/>
        <rFont val="仿宋"/>
        <family val="3"/>
        <charset val="134"/>
      </rPr>
      <t>（致炎后周长</t>
    </r>
    <r>
      <rPr>
        <sz val="11"/>
        <color theme="1"/>
        <rFont val="Times New Roman"/>
        <family val="1"/>
      </rPr>
      <t>-</t>
    </r>
    <r>
      <rPr>
        <sz val="11"/>
        <color theme="1"/>
        <rFont val="仿宋"/>
        <family val="3"/>
        <charset val="134"/>
      </rPr>
      <t>致炎前周长）</t>
    </r>
    <r>
      <rPr>
        <sz val="11"/>
        <color theme="1"/>
        <rFont val="Times New Roman"/>
        <family val="1"/>
      </rPr>
      <t>/</t>
    </r>
    <r>
      <rPr>
        <sz val="11"/>
        <color theme="1"/>
        <rFont val="仿宋"/>
        <family val="3"/>
        <charset val="134"/>
      </rPr>
      <t>致炎前周长</t>
    </r>
    <r>
      <rPr>
        <sz val="11"/>
        <color theme="1"/>
        <rFont val="Times New Roman"/>
        <family val="1"/>
      </rPr>
      <t>*100%</t>
    </r>
    <phoneticPr fontId="1" type="noConversion"/>
  </si>
  <si>
    <r>
      <rPr>
        <sz val="11"/>
        <color theme="1"/>
        <rFont val="等线"/>
        <family val="1"/>
        <charset val="134"/>
      </rPr>
      <t>致炎前</t>
    </r>
    <r>
      <rPr>
        <sz val="11"/>
        <color theme="1"/>
        <rFont val="Times New Roman"/>
        <family val="1"/>
      </rPr>
      <t>Mean</t>
    </r>
    <phoneticPr fontId="1" type="noConversion"/>
  </si>
  <si>
    <t>0.5hMean</t>
    <phoneticPr fontId="1" type="noConversion"/>
  </si>
  <si>
    <t>1hMean</t>
    <phoneticPr fontId="1" type="noConversion"/>
  </si>
  <si>
    <t>1.5hMean</t>
    <phoneticPr fontId="1" type="noConversion"/>
  </si>
  <si>
    <t>2hMean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</si>
</sst>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_ "/>
    <numFmt numFmtId="178" formatCode="0.0%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仿宋"/>
      <family val="3"/>
      <charset val="134"/>
    </font>
    <font>
      <sz val="11"/>
      <color theme="1"/>
      <name val="Times New Roman"/>
      <family val="1"/>
    </font>
    <font>
      <sz val="11"/>
      <color theme="1"/>
      <name val="等线"/>
      <family val="1"/>
      <charset val="134"/>
    </font>
    <font>
      <sz val="11"/>
      <color theme="1"/>
      <name val="Times New Roman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77" fontId="0" fillId="0" borderId="0" xfId="0" applyNumberFormat="1"/>
    <xf numFmtId="0" fontId="0" fillId="2" borderId="0" xfId="0" applyFill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176" fontId="3" fillId="0" borderId="0" xfId="0" applyNumberFormat="1" applyFont="1"/>
    <xf numFmtId="177" fontId="3" fillId="0" borderId="0" xfId="0" applyNumberFormat="1" applyFont="1"/>
    <xf numFmtId="177" fontId="3" fillId="2" borderId="0" xfId="0" applyNumberFormat="1" applyFont="1" applyFill="1"/>
    <xf numFmtId="0" fontId="3" fillId="0" borderId="0" xfId="0" quotePrefix="1" applyFont="1"/>
    <xf numFmtId="178" fontId="3" fillId="2" borderId="0" xfId="0" applyNumberFormat="1" applyFont="1" applyFill="1"/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abSelected="1" zoomScale="115" zoomScaleNormal="115" workbookViewId="0">
      <selection activeCell="K10" sqref="K10"/>
    </sheetView>
  </sheetViews>
  <sheetFormatPr defaultRowHeight="14.25" x14ac:dyDescent="0.2"/>
  <cols>
    <col min="5" max="5" width="11.25" style="2" customWidth="1"/>
    <col min="8" max="8" width="9" style="2"/>
    <col min="11" max="11" width="9" style="2"/>
    <col min="14" max="14" width="9" style="2"/>
    <col min="17" max="17" width="9" style="2"/>
  </cols>
  <sheetData>
    <row r="1" spans="1:21" ht="15" x14ac:dyDescent="0.25">
      <c r="A1" s="4" t="s">
        <v>6</v>
      </c>
      <c r="B1" s="4"/>
      <c r="C1" s="4"/>
      <c r="D1" s="4"/>
      <c r="E1" s="5"/>
      <c r="F1" s="4"/>
      <c r="G1" s="4"/>
      <c r="H1" s="5"/>
      <c r="I1" s="4"/>
      <c r="J1" s="4"/>
      <c r="K1" s="5"/>
      <c r="L1" s="4"/>
      <c r="M1" s="4"/>
      <c r="N1" s="5"/>
      <c r="O1" s="4"/>
      <c r="P1" s="4"/>
      <c r="Q1" s="5"/>
    </row>
    <row r="2" spans="1:21" ht="15" x14ac:dyDescent="0.25">
      <c r="A2" s="4" t="s">
        <v>7</v>
      </c>
      <c r="B2" s="4" t="s">
        <v>8</v>
      </c>
      <c r="C2" s="3" t="s">
        <v>0</v>
      </c>
      <c r="D2" s="4" t="s">
        <v>1</v>
      </c>
      <c r="E2" s="12" t="s">
        <v>10</v>
      </c>
      <c r="F2" s="4" t="s">
        <v>2</v>
      </c>
      <c r="G2" s="4"/>
      <c r="H2" s="11" t="s">
        <v>11</v>
      </c>
      <c r="I2" s="4" t="s">
        <v>3</v>
      </c>
      <c r="J2" s="4"/>
      <c r="K2" s="11" t="s">
        <v>12</v>
      </c>
      <c r="L2" s="4" t="s">
        <v>4</v>
      </c>
      <c r="M2" s="4"/>
      <c r="N2" s="5" t="s">
        <v>13</v>
      </c>
      <c r="O2" s="4" t="s">
        <v>5</v>
      </c>
      <c r="P2" s="4"/>
      <c r="Q2" s="11" t="s">
        <v>14</v>
      </c>
    </row>
    <row r="3" spans="1:21" ht="15" x14ac:dyDescent="0.25">
      <c r="A3" s="4">
        <v>1</v>
      </c>
      <c r="B3" s="6">
        <v>267</v>
      </c>
      <c r="C3" s="7">
        <v>2.7</v>
      </c>
      <c r="D3" s="7">
        <v>2.5</v>
      </c>
      <c r="E3" s="8">
        <f>(C3+D3)/2</f>
        <v>2.6</v>
      </c>
      <c r="F3" s="7">
        <v>3.25</v>
      </c>
      <c r="G3" s="7">
        <v>3.12</v>
      </c>
      <c r="H3" s="8">
        <f>(F3+G3)/2</f>
        <v>3.1850000000000001</v>
      </c>
      <c r="I3" s="7">
        <v>3.15</v>
      </c>
      <c r="J3" s="7">
        <v>3.17</v>
      </c>
      <c r="K3" s="8">
        <f>(I3+J3)/2</f>
        <v>3.16</v>
      </c>
      <c r="L3" s="7">
        <v>2.91</v>
      </c>
      <c r="M3" s="7">
        <v>2.96</v>
      </c>
      <c r="N3" s="8">
        <f>(L3+M3)/2</f>
        <v>2.9350000000000001</v>
      </c>
      <c r="O3" s="7">
        <v>2.9</v>
      </c>
      <c r="P3" s="7">
        <v>2.91</v>
      </c>
      <c r="Q3" s="8">
        <f>(O3+P3)/2</f>
        <v>2.9050000000000002</v>
      </c>
      <c r="R3" s="1"/>
      <c r="S3" s="1"/>
      <c r="T3" s="1"/>
      <c r="U3" s="1"/>
    </row>
    <row r="4" spans="1:21" ht="15" x14ac:dyDescent="0.25">
      <c r="A4" s="4">
        <v>2</v>
      </c>
      <c r="B4" s="6">
        <v>262.5</v>
      </c>
      <c r="C4" s="7">
        <v>2.9</v>
      </c>
      <c r="D4" s="7">
        <v>2.6</v>
      </c>
      <c r="E4" s="8">
        <f t="shared" ref="E4:E5" si="0">(C4+D4)/2</f>
        <v>2.75</v>
      </c>
      <c r="F4" s="7">
        <v>3.19</v>
      </c>
      <c r="G4" s="7">
        <v>3.16</v>
      </c>
      <c r="H4" s="8">
        <f t="shared" ref="H4:H5" si="1">(F4+G4)/2</f>
        <v>3.1749999999999998</v>
      </c>
      <c r="I4" s="7">
        <v>3.29</v>
      </c>
      <c r="J4" s="7">
        <v>3.11</v>
      </c>
      <c r="K4" s="8">
        <f t="shared" ref="K4:K5" si="2">(I4+J4)/2</f>
        <v>3.2</v>
      </c>
      <c r="L4" s="7">
        <v>3.13</v>
      </c>
      <c r="M4" s="7">
        <v>3.03</v>
      </c>
      <c r="N4" s="8">
        <f t="shared" ref="N4:N5" si="3">(L4+M4)/2</f>
        <v>3.08</v>
      </c>
      <c r="O4" s="7">
        <v>2.82</v>
      </c>
      <c r="P4" s="7">
        <v>2.83</v>
      </c>
      <c r="Q4" s="8">
        <f t="shared" ref="Q4:Q5" si="4">(O4+P4)/2</f>
        <v>2.8250000000000002</v>
      </c>
      <c r="R4" s="1"/>
      <c r="S4" s="1"/>
      <c r="T4" s="1"/>
      <c r="U4" s="1"/>
    </row>
    <row r="5" spans="1:21" ht="15" x14ac:dyDescent="0.25">
      <c r="A5" s="4">
        <v>3</v>
      </c>
      <c r="B5" s="6">
        <v>245</v>
      </c>
      <c r="C5" s="7">
        <v>2.6</v>
      </c>
      <c r="D5" s="7">
        <v>2.6</v>
      </c>
      <c r="E5" s="8">
        <f t="shared" si="0"/>
        <v>2.6</v>
      </c>
      <c r="F5" s="7">
        <v>3.2</v>
      </c>
      <c r="G5" s="7">
        <v>3.01</v>
      </c>
      <c r="H5" s="8">
        <f t="shared" si="1"/>
        <v>3.105</v>
      </c>
      <c r="I5" s="7">
        <v>2.72</v>
      </c>
      <c r="J5" s="7">
        <v>2.99</v>
      </c>
      <c r="K5" s="8">
        <f t="shared" si="2"/>
        <v>2.8550000000000004</v>
      </c>
      <c r="L5" s="7">
        <v>2.95</v>
      </c>
      <c r="M5" s="7">
        <v>2.85</v>
      </c>
      <c r="N5" s="8">
        <f t="shared" si="3"/>
        <v>2.9000000000000004</v>
      </c>
      <c r="O5" s="7">
        <v>2.69</v>
      </c>
      <c r="P5" s="7">
        <v>2.72</v>
      </c>
      <c r="Q5" s="8">
        <f t="shared" si="4"/>
        <v>2.7050000000000001</v>
      </c>
      <c r="R5" s="1"/>
      <c r="S5" s="1"/>
      <c r="T5" s="1"/>
      <c r="U5" s="1"/>
    </row>
    <row r="6" spans="1:21" ht="15" x14ac:dyDescent="0.25">
      <c r="A6" s="4" t="s">
        <v>9</v>
      </c>
      <c r="B6" s="4"/>
      <c r="C6" s="9"/>
      <c r="D6" s="4"/>
      <c r="E6" s="5"/>
      <c r="F6" s="4"/>
      <c r="G6" s="4" t="s">
        <v>7</v>
      </c>
      <c r="H6" s="5"/>
      <c r="I6" s="4"/>
      <c r="J6" s="4"/>
      <c r="K6" s="5"/>
      <c r="L6" s="4"/>
      <c r="M6" s="4"/>
      <c r="N6" s="5"/>
      <c r="O6" s="4"/>
      <c r="P6" s="4"/>
      <c r="Q6" s="5"/>
    </row>
    <row r="7" spans="1:21" ht="15" x14ac:dyDescent="0.25">
      <c r="A7" s="4"/>
      <c r="B7" s="4"/>
      <c r="C7" s="4"/>
      <c r="D7" s="4"/>
      <c r="E7" s="5"/>
      <c r="F7" s="4"/>
      <c r="G7" s="4">
        <v>1</v>
      </c>
      <c r="H7" s="10">
        <f>(H3-$E3)/$E3</f>
        <v>0.22499999999999998</v>
      </c>
      <c r="I7" s="4"/>
      <c r="J7" s="4"/>
      <c r="K7" s="10">
        <f>(K3-$E3)/$E3</f>
        <v>0.2153846153846154</v>
      </c>
      <c r="L7" s="4"/>
      <c r="M7" s="4"/>
      <c r="N7" s="10">
        <f>(N3-$E3)/$E3</f>
        <v>0.12884615384615383</v>
      </c>
      <c r="O7" s="4"/>
      <c r="P7" s="4"/>
      <c r="Q7" s="10">
        <f>(Q3-$E3)/$E3</f>
        <v>0.11730769230769236</v>
      </c>
    </row>
    <row r="8" spans="1:21" ht="15" x14ac:dyDescent="0.25">
      <c r="A8" s="4"/>
      <c r="B8" s="4"/>
      <c r="C8" s="4"/>
      <c r="D8" s="4"/>
      <c r="E8" s="5"/>
      <c r="F8" s="4"/>
      <c r="G8" s="4">
        <v>2</v>
      </c>
      <c r="H8" s="10">
        <f>(H4-$E4)/$E4</f>
        <v>0.15454545454545449</v>
      </c>
      <c r="I8" s="4"/>
      <c r="J8" s="4"/>
      <c r="K8" s="10">
        <f>(K4-$E4)/$E4</f>
        <v>0.16363636363636369</v>
      </c>
      <c r="L8" s="4"/>
      <c r="M8" s="4"/>
      <c r="N8" s="10">
        <f>(N4-$E4)/$E4</f>
        <v>0.12000000000000002</v>
      </c>
      <c r="O8" s="4"/>
      <c r="P8" s="4"/>
      <c r="Q8" s="10">
        <f>(Q4-$E4)/$E4</f>
        <v>2.7272727272727337E-2</v>
      </c>
    </row>
    <row r="9" spans="1:21" ht="15" x14ac:dyDescent="0.25">
      <c r="A9" s="4"/>
      <c r="B9" s="4"/>
      <c r="C9" s="4"/>
      <c r="D9" s="4"/>
      <c r="E9" s="5"/>
      <c r="F9" s="4"/>
      <c r="G9" s="4">
        <v>3</v>
      </c>
      <c r="H9" s="10">
        <f>(H5-$E5)/$E5</f>
        <v>0.19423076923076918</v>
      </c>
      <c r="I9" s="4"/>
      <c r="J9" s="4"/>
      <c r="K9" s="10">
        <f>(K5-$E5)/$E5</f>
        <v>9.80769230769232E-2</v>
      </c>
      <c r="L9" s="4"/>
      <c r="M9" s="4"/>
      <c r="N9" s="10">
        <f>(N5-$E5)/$E5</f>
        <v>0.11538461538461549</v>
      </c>
      <c r="O9" s="4"/>
      <c r="P9" s="4"/>
      <c r="Q9" s="10">
        <f>(Q5-$E5)/$E5</f>
        <v>4.0384615384615373E-2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应江滔</dc:creator>
  <cp:lastModifiedBy>江滔 应</cp:lastModifiedBy>
  <dcterms:created xsi:type="dcterms:W3CDTF">2015-06-05T18:19:34Z</dcterms:created>
  <dcterms:modified xsi:type="dcterms:W3CDTF">2026-06-22T09:53:12Z</dcterms:modified>
</cp:coreProperties>
</file>