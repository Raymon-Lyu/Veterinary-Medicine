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14533\OneDrive\Desktop\"/>
    </mc:Choice>
  </mc:AlternateContent>
  <xr:revisionPtr revIDLastSave="0" documentId="13_ncr:1_{33789B08-B36E-476F-B7CF-BD9DCDADE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T5" i="1" l="1"/>
  <c r="P5" i="1"/>
  <c r="L5" i="1"/>
  <c r="H5" i="1"/>
  <c r="E5" i="1"/>
  <c r="T4" i="1"/>
  <c r="P4" i="1"/>
  <c r="L4" i="1"/>
  <c r="H4" i="1"/>
  <c r="E4" i="1"/>
  <c r="T3" i="1"/>
  <c r="P3" i="1"/>
  <c r="L3" i="1"/>
  <c r="H3" i="1"/>
  <c r="E3" i="1"/>
  <c r="U5" i="1" l="1"/>
  <c r="Q5" i="1"/>
  <c r="M5" i="1"/>
  <c r="I5" i="1"/>
  <c r="M4" i="1"/>
  <c r="I4" i="1"/>
  <c r="U3" i="1"/>
  <c r="U4" i="1"/>
  <c r="Q4" i="1"/>
  <c r="Q3" i="1"/>
  <c r="M3" i="1"/>
  <c r="I3" i="1"/>
  <c r="U6" i="1" l="1"/>
  <c r="U7" i="1"/>
  <c r="Q6" i="1"/>
  <c r="Q7" i="1"/>
  <c r="M6" i="1"/>
  <c r="M7" i="1"/>
  <c r="I6" i="1"/>
  <c r="I7" i="1"/>
</calcChain>
</file>

<file path=xl/sharedStrings.xml><?xml version="1.0" encoding="utf-8"?>
<sst xmlns="http://schemas.openxmlformats.org/spreadsheetml/2006/main" count="28" uniqueCount="12">
  <si>
    <t>造模前周长</t>
  </si>
  <si>
    <t>0.5h周长及足肿胀度</t>
  </si>
  <si>
    <t>1h周长及足肿胀度</t>
  </si>
  <si>
    <t>1.5h周长及足肿胀度</t>
  </si>
  <si>
    <t>2h周长及足肿胀度</t>
  </si>
  <si>
    <t>小鼠编号</t>
  </si>
  <si>
    <t>体重/g</t>
  </si>
  <si>
    <t>第一次</t>
  </si>
  <si>
    <t>第二次</t>
  </si>
  <si>
    <t>平均值</t>
  </si>
  <si>
    <t>足肿胀度</t>
  </si>
  <si>
    <t>标准差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</si>
</sst>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_ "/>
    <numFmt numFmtId="179" formatCode="0.0%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B4" sqref="B4"/>
    </sheetView>
  </sheetViews>
  <sheetFormatPr defaultColWidth="9.21875" defaultRowHeight="14.4" x14ac:dyDescent="0.25"/>
  <cols>
    <col min="5" max="5" width="9.6640625"/>
  </cols>
  <sheetData>
    <row r="1" spans="1:21" x14ac:dyDescent="0.25">
      <c r="C1" s="3" t="s">
        <v>0</v>
      </c>
      <c r="D1" s="3"/>
      <c r="E1" s="3"/>
      <c r="F1" s="3" t="s">
        <v>1</v>
      </c>
      <c r="G1" s="3"/>
      <c r="H1" s="3"/>
      <c r="I1" s="3"/>
      <c r="J1" s="3" t="s">
        <v>2</v>
      </c>
      <c r="K1" s="3"/>
      <c r="L1" s="3"/>
      <c r="M1" s="3"/>
      <c r="N1" s="3" t="s">
        <v>3</v>
      </c>
      <c r="O1" s="3"/>
      <c r="P1" s="3"/>
      <c r="Q1" s="3"/>
      <c r="R1" s="3" t="s">
        <v>4</v>
      </c>
      <c r="S1" s="3"/>
      <c r="T1" s="3"/>
      <c r="U1" s="3"/>
    </row>
    <row r="2" spans="1:2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</v>
      </c>
      <c r="G2" t="s">
        <v>8</v>
      </c>
      <c r="H2" t="s">
        <v>9</v>
      </c>
      <c r="I2" t="s">
        <v>10</v>
      </c>
      <c r="J2" t="s">
        <v>7</v>
      </c>
      <c r="K2" t="s">
        <v>8</v>
      </c>
      <c r="L2" t="s">
        <v>9</v>
      </c>
      <c r="M2" t="s">
        <v>10</v>
      </c>
      <c r="N2" t="s">
        <v>7</v>
      </c>
      <c r="O2" t="s">
        <v>8</v>
      </c>
      <c r="P2" t="s">
        <v>9</v>
      </c>
      <c r="Q2" t="s">
        <v>10</v>
      </c>
      <c r="R2" t="s">
        <v>7</v>
      </c>
      <c r="S2" t="s">
        <v>8</v>
      </c>
      <c r="T2" t="s">
        <v>9</v>
      </c>
      <c r="U2" t="s">
        <v>10</v>
      </c>
    </row>
    <row r="3" spans="1:21" x14ac:dyDescent="0.25">
      <c r="A3">
        <v>1</v>
      </c>
      <c r="B3" s="1">
        <v>274.10000000000002</v>
      </c>
      <c r="C3" s="1">
        <v>2.2999999999999998</v>
      </c>
      <c r="D3" s="1">
        <v>2.5</v>
      </c>
      <c r="E3">
        <f>AVERAGE(C3:D3)</f>
        <v>2.4</v>
      </c>
      <c r="F3" s="1">
        <v>3.3</v>
      </c>
      <c r="G3" s="1">
        <v>3.2</v>
      </c>
      <c r="H3">
        <f>AVERAGE(F3:G3)</f>
        <v>3.25</v>
      </c>
      <c r="I3" s="2">
        <f>(H3-E3)/E3</f>
        <v>0.35416666666666674</v>
      </c>
      <c r="J3" s="1">
        <v>3</v>
      </c>
      <c r="K3" s="1">
        <v>3.1</v>
      </c>
      <c r="L3">
        <f>AVERAGE(J3:K3)</f>
        <v>3.05</v>
      </c>
      <c r="M3" s="2">
        <f>(L3-E3)/E3</f>
        <v>0.27083333333333331</v>
      </c>
      <c r="N3" s="1">
        <v>2.9</v>
      </c>
      <c r="O3" s="1">
        <v>3</v>
      </c>
      <c r="P3">
        <f>AVERAGE(N3:O3)</f>
        <v>2.95</v>
      </c>
      <c r="Q3" s="2">
        <f>(P3-E3)/E3</f>
        <v>0.2291666666666668</v>
      </c>
      <c r="R3" s="1">
        <v>2.7</v>
      </c>
      <c r="S3" s="1">
        <v>3</v>
      </c>
      <c r="T3" s="1">
        <f>AVERAGE(R3:S3)</f>
        <v>2.85</v>
      </c>
      <c r="U3" s="2">
        <f>(T3-E3)/E3</f>
        <v>0.18750000000000008</v>
      </c>
    </row>
    <row r="4" spans="1:21" x14ac:dyDescent="0.25">
      <c r="A4">
        <v>2</v>
      </c>
      <c r="B4" s="1">
        <v>262.2</v>
      </c>
      <c r="C4" s="1">
        <v>2.5499999999999998</v>
      </c>
      <c r="D4" s="1">
        <v>2.4500000000000002</v>
      </c>
      <c r="E4">
        <f>AVERAGE(C4:D4)</f>
        <v>2.5</v>
      </c>
      <c r="F4" s="1">
        <v>3.1</v>
      </c>
      <c r="G4" s="1">
        <v>3.1</v>
      </c>
      <c r="H4">
        <f>AVERAGE(F4:G4)</f>
        <v>3.1</v>
      </c>
      <c r="I4" s="2">
        <f>(H4-E4)/E4</f>
        <v>0.24000000000000005</v>
      </c>
      <c r="J4" s="1">
        <v>3</v>
      </c>
      <c r="K4" s="1">
        <v>2.9</v>
      </c>
      <c r="L4">
        <f>AVERAGE(J4:K4)</f>
        <v>2.95</v>
      </c>
      <c r="M4" s="2">
        <f>(L4-E4)/E4</f>
        <v>0.18000000000000008</v>
      </c>
      <c r="N4" s="1">
        <v>2.8</v>
      </c>
      <c r="O4" s="1">
        <v>2.9</v>
      </c>
      <c r="P4">
        <f>AVERAGE(N4:O4)</f>
        <v>2.8499999999999996</v>
      </c>
      <c r="Q4" s="2">
        <f>(P4-E4)/E4</f>
        <v>0.13999999999999985</v>
      </c>
      <c r="R4" s="1">
        <v>2.8</v>
      </c>
      <c r="S4" s="1">
        <v>2.7</v>
      </c>
      <c r="T4" s="1">
        <f>AVERAGE(R4:S4)</f>
        <v>2.75</v>
      </c>
      <c r="U4" s="2">
        <f>(T4-E4)/E4</f>
        <v>0.1</v>
      </c>
    </row>
    <row r="5" spans="1:21" x14ac:dyDescent="0.25">
      <c r="A5">
        <v>3</v>
      </c>
      <c r="B5" s="1">
        <v>258.7</v>
      </c>
      <c r="C5" s="1">
        <v>2.5</v>
      </c>
      <c r="D5" s="1">
        <v>2.7</v>
      </c>
      <c r="E5">
        <f>AVERAGE(C5:D5)</f>
        <v>2.6</v>
      </c>
      <c r="F5" s="1">
        <v>3.1</v>
      </c>
      <c r="G5" s="1">
        <v>3.2</v>
      </c>
      <c r="H5">
        <f>AVERAGE(F5:G5)</f>
        <v>3.1500000000000004</v>
      </c>
      <c r="I5" s="2">
        <f>(H5-E5)/E5</f>
        <v>0.21153846153846165</v>
      </c>
      <c r="J5" s="1">
        <v>3</v>
      </c>
      <c r="K5" s="1">
        <v>3</v>
      </c>
      <c r="L5">
        <f>AVERAGE(J5:K5)</f>
        <v>3</v>
      </c>
      <c r="M5" s="2">
        <f>(L5-E5)/E5</f>
        <v>0.1538461538461538</v>
      </c>
      <c r="N5" s="1">
        <v>3</v>
      </c>
      <c r="O5" s="1">
        <v>2.9</v>
      </c>
      <c r="P5">
        <f>AVERAGE(N5:O5)</f>
        <v>2.95</v>
      </c>
      <c r="Q5" s="2">
        <f>(P5-E5)/E5</f>
        <v>0.13461538461538464</v>
      </c>
      <c r="R5" s="1">
        <v>2.9</v>
      </c>
      <c r="S5" s="1">
        <v>2.8</v>
      </c>
      <c r="T5" s="1">
        <f>AVERAGE(R5:S5)</f>
        <v>2.8499999999999996</v>
      </c>
      <c r="U5" s="2">
        <f>(T5-E5)/E5</f>
        <v>9.6153846153845979E-2</v>
      </c>
    </row>
    <row r="6" spans="1:21" x14ac:dyDescent="0.25">
      <c r="A6" t="s">
        <v>9</v>
      </c>
      <c r="I6" s="2">
        <f>AVERAGE(I3:I5)</f>
        <v>0.26856837606837614</v>
      </c>
      <c r="J6" s="2"/>
      <c r="K6" s="2"/>
      <c r="L6" s="2"/>
      <c r="M6" s="2">
        <f>AVERAGE(M3:M5)</f>
        <v>0.20155982905982905</v>
      </c>
      <c r="N6" s="2"/>
      <c r="O6" s="2"/>
      <c r="P6" s="2"/>
      <c r="Q6" s="2">
        <f>AVERAGE(Q3:Q5)</f>
        <v>0.16792735042735041</v>
      </c>
      <c r="R6" s="2"/>
      <c r="S6" s="2"/>
      <c r="T6" s="2"/>
      <c r="U6" s="2">
        <f>AVERAGE(U3:U5)</f>
        <v>0.12788461538461535</v>
      </c>
    </row>
    <row r="7" spans="1:21" x14ac:dyDescent="0.25">
      <c r="A7" t="s">
        <v>11</v>
      </c>
      <c r="I7" s="2">
        <f>STDEVP(I3:I5)</f>
        <v>6.1632325435664312E-2</v>
      </c>
      <c r="J7" s="2"/>
      <c r="K7" s="2"/>
      <c r="L7" s="2"/>
      <c r="M7" s="2">
        <f>STDEVP(M3:M5)</f>
        <v>5.0133951988036898E-2</v>
      </c>
      <c r="N7" s="2"/>
      <c r="O7" s="2"/>
      <c r="P7" s="2"/>
      <c r="Q7" s="2">
        <f>STDEVP(Q3:Q5)</f>
        <v>4.3358497135735106E-2</v>
      </c>
      <c r="R7" s="2"/>
      <c r="S7" s="2"/>
      <c r="T7" s="2"/>
      <c r="U7" s="2">
        <f>STDEVP(U3:U5)</f>
        <v>4.2183676044826132E-2</v>
      </c>
    </row>
  </sheetData>
  <mergeCells count="5">
    <mergeCell ref="C1:E1"/>
    <mergeCell ref="F1:I1"/>
    <mergeCell ref="J1:M1"/>
    <mergeCell ref="N1:Q1"/>
    <mergeCell ref="R1:U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wangliuding</dc:creator>
  <cp:lastModifiedBy>煜铉 黄</cp:lastModifiedBy>
  <dcterms:created xsi:type="dcterms:W3CDTF">2026-06-22T20:46:55Z</dcterms:created>
  <dcterms:modified xsi:type="dcterms:W3CDTF">2026-06-23T01:08:27Z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965D9D14887A70BDBF2E396AD935E571_41</vt:lpwstr>
  </property>
  <property fmtid="{D5CDD505-2E9C-101B-9397-08002B2CF9AE}" pid="3" name="KSOProductBuildVer">
    <vt:lpwstr>2052-6.2.0.8299</vt:lpwstr>
  </property>
</Properties>
</file>