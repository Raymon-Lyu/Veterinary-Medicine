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5E6FB3-2EA4-4B5E-A1B2-7302DC66A058}" xr6:coauthVersionLast="47" xr6:coauthVersionMax="47" xr10:uidLastSave="{00000000-0000-0000-0000-000000000000}"/>
  <bookViews>
    <workbookView xWindow="11424" yWindow="0" windowWidth="11712" windowHeight="12336" xr2:uid="{D0A6C53F-FAEA-4DA9-AADB-9B1ED91A9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Q7" i="1"/>
  <c r="M7" i="1"/>
  <c r="I7" i="1"/>
  <c r="U6" i="1"/>
  <c r="Q6" i="1"/>
  <c r="M6" i="1"/>
  <c r="I6" i="1"/>
  <c r="U4" i="1"/>
  <c r="U5" i="1"/>
  <c r="U3" i="1"/>
  <c r="T4" i="1"/>
  <c r="T5" i="1"/>
  <c r="T3" i="1"/>
  <c r="Q4" i="1"/>
  <c r="Q5" i="1"/>
  <c r="Q3" i="1"/>
  <c r="P4" i="1"/>
  <c r="P5" i="1"/>
  <c r="P3" i="1"/>
  <c r="M4" i="1"/>
  <c r="M5" i="1"/>
  <c r="M3" i="1"/>
  <c r="L4" i="1"/>
  <c r="L5" i="1"/>
  <c r="L3" i="1"/>
  <c r="I3" i="1"/>
  <c r="I4" i="1"/>
  <c r="I5" i="1"/>
  <c r="H4" i="1"/>
  <c r="H5" i="1"/>
  <c r="H3" i="1"/>
  <c r="E4" i="1"/>
  <c r="E5" i="1"/>
  <c r="E3" i="1"/>
</calcChain>
</file>

<file path=xl/sharedStrings.xml><?xml version="1.0" encoding="utf-8"?>
<sst xmlns="http://schemas.openxmlformats.org/spreadsheetml/2006/main" count="28" uniqueCount="12">
  <si>
    <t>小鼠编号</t>
  </si>
  <si>
    <t>平均值</t>
  </si>
  <si>
    <t>标准差</t>
  </si>
  <si>
    <t>体重/g</t>
  </si>
  <si>
    <t>第一次</t>
  </si>
  <si>
    <t>第二次</t>
  </si>
  <si>
    <t>造模前周长</t>
  </si>
  <si>
    <t>0.5h周长及足肿胀度</t>
  </si>
  <si>
    <t>1h周长及足肿胀度</t>
  </si>
  <si>
    <t>足肿胀度(%)</t>
  </si>
  <si>
    <t>1.5h周长及足肿胀度</t>
  </si>
  <si>
    <t>2h周长及足肿胀度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</si>
</sst>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2DCA-8C6C-4EF9-BA62-BDCE714443D2}">
  <dimension ref="A1:U7"/>
  <sheetViews>
    <sheetView tabSelected="1" workbookViewId="0">
      <selection activeCell="A8" sqref="A8"/>
    </sheetView>
  </sheetViews>
  <sheetFormatPr defaultRowHeight="14.4" x14ac:dyDescent="0.3"/>
  <cols>
    <col min="9" max="9" width="10.88671875" customWidth="1"/>
    <col min="13" max="13" width="11.33203125" customWidth="1"/>
    <col min="17" max="17" width="11.5546875" customWidth="1"/>
    <col min="21" max="21" width="11.21875" customWidth="1"/>
  </cols>
  <sheetData>
    <row r="1" spans="1:21" ht="15" x14ac:dyDescent="0.3">
      <c r="A1" s="1"/>
      <c r="B1" s="1"/>
      <c r="C1" s="2" t="s">
        <v>6</v>
      </c>
      <c r="D1" s="2"/>
      <c r="E1" s="2"/>
      <c r="F1" s="2" t="s">
        <v>7</v>
      </c>
      <c r="G1" s="2"/>
      <c r="H1" s="2"/>
      <c r="I1" s="2"/>
      <c r="J1" s="2" t="s">
        <v>8</v>
      </c>
      <c r="K1" s="2"/>
      <c r="L1" s="2"/>
      <c r="M1" s="2"/>
      <c r="N1" s="2" t="s">
        <v>10</v>
      </c>
      <c r="O1" s="2"/>
      <c r="P1" s="2"/>
      <c r="Q1" s="2"/>
      <c r="R1" s="2" t="s">
        <v>11</v>
      </c>
      <c r="S1" s="2"/>
      <c r="T1" s="2"/>
      <c r="U1" s="2"/>
    </row>
    <row r="2" spans="1:21" ht="15" x14ac:dyDescent="0.3">
      <c r="A2" s="1" t="s">
        <v>0</v>
      </c>
      <c r="B2" s="1" t="s">
        <v>3</v>
      </c>
      <c r="C2" s="1" t="s">
        <v>4</v>
      </c>
      <c r="D2" s="1" t="s">
        <v>5</v>
      </c>
      <c r="E2" s="1" t="s">
        <v>1</v>
      </c>
      <c r="F2" s="1" t="s">
        <v>4</v>
      </c>
      <c r="G2" s="1" t="s">
        <v>5</v>
      </c>
      <c r="H2" s="1" t="s">
        <v>1</v>
      </c>
      <c r="I2" s="1" t="s">
        <v>9</v>
      </c>
      <c r="J2" s="1" t="s">
        <v>4</v>
      </c>
      <c r="K2" s="1" t="s">
        <v>5</v>
      </c>
      <c r="L2" s="1" t="s">
        <v>1</v>
      </c>
      <c r="M2" s="1" t="s">
        <v>9</v>
      </c>
      <c r="N2" s="1" t="s">
        <v>4</v>
      </c>
      <c r="O2" s="1" t="s">
        <v>5</v>
      </c>
      <c r="P2" s="1" t="s">
        <v>1</v>
      </c>
      <c r="Q2" s="1" t="s">
        <v>9</v>
      </c>
      <c r="R2" s="1" t="s">
        <v>4</v>
      </c>
      <c r="S2" s="1" t="s">
        <v>5</v>
      </c>
      <c r="T2" s="1" t="s">
        <v>1</v>
      </c>
      <c r="U2" s="1" t="s">
        <v>9</v>
      </c>
    </row>
    <row r="3" spans="1:21" ht="15" x14ac:dyDescent="0.3">
      <c r="A3" s="1">
        <v>1</v>
      </c>
      <c r="B3" s="1">
        <v>249</v>
      </c>
      <c r="C3" s="1">
        <v>2.5</v>
      </c>
      <c r="D3" s="1">
        <v>2.38</v>
      </c>
      <c r="E3" s="1">
        <f>(C3+D3)/2</f>
        <v>2.44</v>
      </c>
      <c r="F3" s="1">
        <v>3</v>
      </c>
      <c r="G3" s="1">
        <v>3.1</v>
      </c>
      <c r="H3" s="1">
        <f>(F3+G3)/2</f>
        <v>3.05</v>
      </c>
      <c r="I3" s="1">
        <f>(H3-E3)/E3*100</f>
        <v>24.999999999999993</v>
      </c>
      <c r="J3" s="1">
        <v>3.45</v>
      </c>
      <c r="K3" s="1">
        <v>3.3</v>
      </c>
      <c r="L3" s="1">
        <f>(J3+K3)/2</f>
        <v>3.375</v>
      </c>
      <c r="M3" s="1">
        <f>(L3-E3)/E3*100</f>
        <v>38.319672131147541</v>
      </c>
      <c r="N3" s="1">
        <v>3.1</v>
      </c>
      <c r="O3" s="1">
        <v>2.93</v>
      </c>
      <c r="P3" s="1">
        <f>(N3+O3)/2</f>
        <v>3.0150000000000001</v>
      </c>
      <c r="Q3" s="1">
        <f>(P3-E3)/E3*100</f>
        <v>23.56557377049181</v>
      </c>
      <c r="R3" s="1">
        <v>3.05</v>
      </c>
      <c r="S3" s="1">
        <v>2.9</v>
      </c>
      <c r="T3" s="1">
        <f>(R3+S3)/2</f>
        <v>2.9749999999999996</v>
      </c>
      <c r="U3" s="1">
        <f>(T3-E3)/E3*100</f>
        <v>21.926229508196709</v>
      </c>
    </row>
    <row r="4" spans="1:21" ht="15" x14ac:dyDescent="0.3">
      <c r="A4" s="1">
        <v>2</v>
      </c>
      <c r="B4" s="1">
        <v>264.60000000000002</v>
      </c>
      <c r="C4" s="1">
        <v>2.4900000000000002</v>
      </c>
      <c r="D4" s="1">
        <v>2.5499999999999998</v>
      </c>
      <c r="E4" s="1">
        <f t="shared" ref="E4:E5" si="0">(C4+D4)/2</f>
        <v>2.52</v>
      </c>
      <c r="F4" s="1">
        <v>3.3</v>
      </c>
      <c r="G4" s="1">
        <v>3.5</v>
      </c>
      <c r="H4" s="1">
        <f t="shared" ref="H4:H5" si="1">(F4+G4)/2</f>
        <v>3.4</v>
      </c>
      <c r="I4" s="1">
        <f t="shared" ref="I4:I5" si="2">(H4-E4)/E4*100</f>
        <v>34.920634920634917</v>
      </c>
      <c r="J4" s="1">
        <v>2.8</v>
      </c>
      <c r="K4" s="1">
        <v>3</v>
      </c>
      <c r="L4" s="1">
        <f t="shared" ref="L4:L5" si="3">(J4+K4)/2</f>
        <v>2.9</v>
      </c>
      <c r="M4" s="1">
        <f t="shared" ref="M4:M5" si="4">(L4-E4)/E4*100</f>
        <v>15.079365079365076</v>
      </c>
      <c r="N4" s="1">
        <v>2.95</v>
      </c>
      <c r="O4" s="1">
        <v>2.7</v>
      </c>
      <c r="P4" s="1">
        <f t="shared" ref="P4:P5" si="5">(N4+O4)/2</f>
        <v>2.8250000000000002</v>
      </c>
      <c r="Q4" s="1">
        <f t="shared" ref="Q4:Q5" si="6">(P4-E4)/E4*100</f>
        <v>12.103174603174608</v>
      </c>
      <c r="R4" s="1">
        <v>2.8</v>
      </c>
      <c r="S4" s="1">
        <v>2.85</v>
      </c>
      <c r="T4" s="1">
        <f t="shared" ref="T4:T5" si="7">(R4+S4)/2</f>
        <v>2.8250000000000002</v>
      </c>
      <c r="U4" s="1">
        <f t="shared" ref="U4:U5" si="8">(T4-E4)/E4*100</f>
        <v>12.103174603174608</v>
      </c>
    </row>
    <row r="5" spans="1:21" ht="15" x14ac:dyDescent="0.3">
      <c r="A5" s="1">
        <v>3</v>
      </c>
      <c r="B5" s="1">
        <v>271.39999999999998</v>
      </c>
      <c r="C5" s="1">
        <v>2.5</v>
      </c>
      <c r="D5" s="1">
        <v>2.65</v>
      </c>
      <c r="E5" s="1">
        <f t="shared" si="0"/>
        <v>2.5750000000000002</v>
      </c>
      <c r="F5" s="1">
        <v>3</v>
      </c>
      <c r="G5" s="1">
        <v>2.95</v>
      </c>
      <c r="H5" s="1">
        <f t="shared" si="1"/>
        <v>2.9750000000000001</v>
      </c>
      <c r="I5" s="1">
        <f t="shared" si="2"/>
        <v>15.533980582524268</v>
      </c>
      <c r="J5" s="1">
        <v>2.7</v>
      </c>
      <c r="K5" s="1">
        <v>2.75</v>
      </c>
      <c r="L5" s="1">
        <f t="shared" si="3"/>
        <v>2.7250000000000001</v>
      </c>
      <c r="M5" s="1">
        <f t="shared" si="4"/>
        <v>5.8252427184465976</v>
      </c>
      <c r="N5" s="1">
        <v>2.6</v>
      </c>
      <c r="O5" s="1">
        <v>2.4500000000000002</v>
      </c>
      <c r="P5" s="1">
        <f t="shared" si="5"/>
        <v>2.5250000000000004</v>
      </c>
      <c r="Q5" s="1">
        <f t="shared" si="6"/>
        <v>-1.9417475728155269</v>
      </c>
      <c r="R5" s="1">
        <v>2.4500000000000002</v>
      </c>
      <c r="S5" s="1">
        <v>2.6</v>
      </c>
      <c r="T5" s="1">
        <f t="shared" si="7"/>
        <v>2.5250000000000004</v>
      </c>
      <c r="U5" s="1">
        <f t="shared" si="8"/>
        <v>-1.9417475728155269</v>
      </c>
    </row>
    <row r="6" spans="1:21" ht="15" x14ac:dyDescent="0.3">
      <c r="A6" s="1" t="s">
        <v>1</v>
      </c>
      <c r="B6" s="1"/>
      <c r="C6" s="1"/>
      <c r="D6" s="1"/>
      <c r="E6" s="1"/>
      <c r="F6" s="1"/>
      <c r="G6" s="1"/>
      <c r="H6" s="1"/>
      <c r="I6" s="1">
        <f>(I3+I4+I5)/3</f>
        <v>25.151538501053057</v>
      </c>
      <c r="J6" s="1"/>
      <c r="K6" s="1"/>
      <c r="L6" s="1"/>
      <c r="M6" s="1">
        <f>(M3+M4+M5)/3</f>
        <v>19.741426642986404</v>
      </c>
      <c r="N6" s="1"/>
      <c r="O6" s="1"/>
      <c r="P6" s="1"/>
      <c r="Q6" s="1">
        <f>(Q3+Q4+Q5)/3</f>
        <v>11.242333600283629</v>
      </c>
      <c r="R6" s="1"/>
      <c r="S6" s="1"/>
      <c r="T6" s="1"/>
      <c r="U6" s="1">
        <f>(U3+U4+U5)/3</f>
        <v>10.69588551285193</v>
      </c>
    </row>
    <row r="7" spans="1:21" ht="15" x14ac:dyDescent="0.3">
      <c r="A7" s="1" t="s">
        <v>2</v>
      </c>
      <c r="B7" s="1"/>
      <c r="C7" s="1"/>
      <c r="D7" s="1"/>
      <c r="E7" s="1"/>
      <c r="F7" s="1"/>
      <c r="G7" s="1"/>
      <c r="H7" s="1"/>
      <c r="I7" s="1">
        <f>_xlfn.STDEV.S(I3:I5)</f>
        <v>9.6942155197995366</v>
      </c>
      <c r="J7" s="1"/>
      <c r="K7" s="1"/>
      <c r="L7" s="1"/>
      <c r="M7" s="1">
        <f>_xlfn.STDEV.S(M3:M5)</f>
        <v>16.741358942197547</v>
      </c>
      <c r="N7" s="1"/>
      <c r="O7" s="1"/>
      <c r="P7" s="1"/>
      <c r="Q7" s="1">
        <f>_xlfn.STDEV.S(Q3:Q5)</f>
        <v>12.775431341128147</v>
      </c>
      <c r="R7" s="1"/>
      <c r="S7" s="1"/>
      <c r="T7" s="1"/>
      <c r="U7" s="1">
        <f>_xlfn.STDEV.S(U3:U5)</f>
        <v>11.996058912106813</v>
      </c>
    </row>
  </sheetData>
  <mergeCells count="5">
    <mergeCell ref="C1:E1"/>
    <mergeCell ref="F1:I1"/>
    <mergeCell ref="J1:M1"/>
    <mergeCell ref="N1:Q1"/>
    <mergeCell ref="R1: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Min Yee</dc:creator>
  <cp:lastModifiedBy>Hui Min Yee</cp:lastModifiedBy>
  <cp:lastPrinted>2026-06-23T02:10:13Z</cp:lastPrinted>
  <dcterms:created xsi:type="dcterms:W3CDTF">2026-06-23T01:49:27Z</dcterms:created>
  <dcterms:modified xsi:type="dcterms:W3CDTF">2026-06-23T02:19:41Z</dcterms:modified>
</cp:coreProperties>
</file>